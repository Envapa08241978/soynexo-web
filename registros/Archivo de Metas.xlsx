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\soynexo-web\registros\"/>
    </mc:Choice>
  </mc:AlternateContent>
  <xr:revisionPtr revIDLastSave="0" documentId="8_{6B9A51DF-A367-4840-AE55-749F220EEA7F}" xr6:coauthVersionLast="47" xr6:coauthVersionMax="47" xr10:uidLastSave="{00000000-0000-0000-0000-000000000000}"/>
  <bookViews>
    <workbookView xWindow="-108" yWindow="-108" windowWidth="23256" windowHeight="12456" xr2:uid="{5906C257-00FD-4F6E-B7F7-CC2256DAF23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0" i="1" l="1"/>
  <c r="D80" i="1"/>
  <c r="B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<sst xmlns="http://schemas.openxmlformats.org/spreadsheetml/2006/main" count="4" uniqueCount="4">
  <si>
    <t>Sector Comunitario</t>
  </si>
  <si>
    <t>Población Estimada (Padrón)</t>
  </si>
  <si>
    <t>Impacto Anteriores (Votos 2024)</t>
  </si>
  <si>
    <t>Objetivo de Cobertura (Meta)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</si>
</sst>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b/>
      <sz val="10"/>
      <color theme="1" tint="4.9989318521683403E-2"/>
      <name val="Arial"/>
      <family val="2"/>
    </font>
    <font>
      <sz val="10"/>
      <color rgb="FF171717"/>
      <name val="Cal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1717"/>
        <name val="Cal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602c2dca830dca4/Documents/Campa&#241;as/CON%20DON%20KIKO/RESULTADOS%20ALCALDIAS%20SONORA.xlsx" TargetMode="External"/><Relationship Id="rId1" Type="http://schemas.openxmlformats.org/officeDocument/2006/relationships/externalLinkPath" Target="https://d.docs.live.net/5602c2dca830dca4/Documents/Campa&#241;as/CON%20DON%20KIKO/RESULTADOS%20ALCALDIAS%20SONO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NORA POR ALCALDIA"/>
      <sheetName val="NAVOJOA POR CASILLA"/>
      <sheetName val="Sheet2"/>
      <sheetName val="POR SECCIONAL"/>
      <sheetName val="Sheet1"/>
      <sheetName val="URBAN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1E85F-DB6E-4160-9EAA-C20EF2C7C2DC}" name="Table1" displayName="Table1" ref="A1:D79" totalsRowShown="0" headerRowDxfId="0">
  <autoFilter ref="A1:D79" xr:uid="{75B1E85F-DB6E-4160-9EAA-C20EF2C7C2DC}"/>
  <tableColumns count="4">
    <tableColumn id="1" xr3:uid="{0BF5CCFC-93EE-46CE-BD37-BEE1FB8689E2}" name="Sector Comunitario" dataDxfId="4" dataCellStyle="Comma"/>
    <tableColumn id="2" xr3:uid="{B6490745-0344-4538-A939-8B772CD9441F}" name="Población Estimada (Padrón)" dataDxfId="3"/>
    <tableColumn id="3" xr3:uid="{BEDB8485-9C3F-4815-88DC-0C260D13D31E}" name="Impacto Anteriores (Votos 2024)" dataDxfId="2"/>
    <tableColumn id="4" xr3:uid="{9688C205-6147-48E3-9698-7242BDEF8F81}" name="Objetivo de Cobertura (Meta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3D27-F747-4A8A-93BC-612AC011F8F6}">
  <dimension ref="A1:D80"/>
  <sheetViews>
    <sheetView tabSelected="1" workbookViewId="0">
      <selection activeCell="G6" sqref="G6"/>
    </sheetView>
  </sheetViews>
  <sheetFormatPr defaultRowHeight="14.4"/>
  <cols>
    <col min="1" max="1" width="14.33203125" customWidth="1"/>
    <col min="2" max="2" width="16.77734375" customWidth="1"/>
    <col min="3" max="3" width="16" customWidth="1"/>
    <col min="4" max="4" width="15.33203125" customWidth="1"/>
  </cols>
  <sheetData>
    <row r="1" spans="1:4" ht="42.6" customHeight="1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s="1">
        <v>1233</v>
      </c>
      <c r="B2" s="6">
        <v>773</v>
      </c>
      <c r="C2" s="8">
        <f>SUMIF([1]!Table1[seccion],1233,[1]!Table1[CANDIDATURA_COMUN_SIGAMOS_HACIENDO_HISTORIA])</f>
        <v>481</v>
      </c>
      <c r="D2" s="11">
        <v>435.54</v>
      </c>
    </row>
    <row r="3" spans="1:4">
      <c r="A3" s="2">
        <v>1274</v>
      </c>
      <c r="B3" s="7">
        <v>324</v>
      </c>
      <c r="C3" s="9">
        <f>SUMIF([1]!Table1[seccion],1274,[1]!Table1[CANDIDATURA_COMUN_SIGAMOS_HACIENDO_HISTORIA])</f>
        <v>163</v>
      </c>
      <c r="D3" s="11">
        <v>102</v>
      </c>
    </row>
    <row r="4" spans="1:4">
      <c r="A4" s="3">
        <v>1299</v>
      </c>
      <c r="B4" s="6">
        <v>467</v>
      </c>
      <c r="C4" s="8">
        <f>SUMIF([1]!Table1[seccion],1299,[1]!Table1[CANDIDATURA_COMUN_SIGAMOS_HACIENDO_HISTORIA])</f>
        <v>226</v>
      </c>
      <c r="D4" s="11">
        <v>144.33000000000001</v>
      </c>
    </row>
    <row r="5" spans="1:4">
      <c r="A5" s="2">
        <v>1297</v>
      </c>
      <c r="B5" s="7">
        <v>1908</v>
      </c>
      <c r="C5" s="9">
        <f>SUMIF([1]!Table1[seccion],1297,[1]!Table1[CANDIDATURA_COMUN_SIGAMOS_HACIENDO_HISTORIA])</f>
        <v>892</v>
      </c>
      <c r="D5" s="11">
        <v>546.21</v>
      </c>
    </row>
    <row r="6" spans="1:4">
      <c r="A6" s="3">
        <v>1296</v>
      </c>
      <c r="B6" s="6">
        <v>1083</v>
      </c>
      <c r="C6" s="8">
        <f>SUMIF([1]!Table1[seccion],1296,[1]!Table1[CANDIDATURA_COMUN_SIGAMOS_HACIENDO_HISTORIA])</f>
        <v>488</v>
      </c>
      <c r="D6" s="11">
        <v>311.61</v>
      </c>
    </row>
    <row r="7" spans="1:4">
      <c r="A7" s="2">
        <v>1282</v>
      </c>
      <c r="B7" s="7">
        <v>1201</v>
      </c>
      <c r="C7" s="9">
        <f>SUMIF([1]!Table1[seccion],1282,[1]!Table1[CANDIDATURA_COMUN_SIGAMOS_HACIENDO_HISTORIA])</f>
        <v>505</v>
      </c>
      <c r="D7" s="11">
        <v>333.03000000000003</v>
      </c>
    </row>
    <row r="8" spans="1:4">
      <c r="A8" s="3">
        <v>1294</v>
      </c>
      <c r="B8" s="6">
        <v>1073</v>
      </c>
      <c r="C8" s="8">
        <f>SUMIF([1]!Table1[seccion],1294,[1]!Table1[CANDIDATURA_COMUN_SIGAMOS_HACIENDO_HISTORIA])</f>
        <v>443</v>
      </c>
      <c r="D8" s="11">
        <v>298.35000000000002</v>
      </c>
    </row>
    <row r="9" spans="1:4">
      <c r="A9" s="2">
        <v>1292</v>
      </c>
      <c r="B9" s="7">
        <v>1686</v>
      </c>
      <c r="C9" s="9">
        <f>SUMIF([1]!Table1[seccion],1292,[1]!Table1[CANDIDATURA_COMUN_SIGAMOS_HACIENDO_HISTORIA])</f>
        <v>691</v>
      </c>
      <c r="D9" s="11">
        <v>448.29</v>
      </c>
    </row>
    <row r="10" spans="1:4">
      <c r="A10" s="3">
        <v>1280</v>
      </c>
      <c r="B10" s="6">
        <v>1349</v>
      </c>
      <c r="C10" s="8">
        <f>SUMIF([1]!Table1[seccion],1280,[1]!Table1[CANDIDATURA_COMUN_SIGAMOS_HACIENDO_HISTORIA])</f>
        <v>550</v>
      </c>
      <c r="D10" s="11">
        <v>376.38</v>
      </c>
    </row>
    <row r="11" spans="1:4">
      <c r="A11" s="2">
        <v>1266</v>
      </c>
      <c r="B11" s="7">
        <v>1215</v>
      </c>
      <c r="C11" s="9">
        <f>SUMIF([1]!Table1[seccion],1266,[1]!Table1[CANDIDATURA_COMUN_SIGAMOS_HACIENDO_HISTORIA])</f>
        <v>495</v>
      </c>
      <c r="D11" s="11">
        <v>324.36</v>
      </c>
    </row>
    <row r="12" spans="1:4">
      <c r="A12" s="3">
        <v>1295</v>
      </c>
      <c r="B12" s="6">
        <v>1210</v>
      </c>
      <c r="C12" s="8">
        <f>SUMIF([1]!Table1[seccion],1295,[1]!Table1[CANDIDATURA_COMUN_SIGAMOS_HACIENDO_HISTORIA])</f>
        <v>490</v>
      </c>
      <c r="D12" s="11">
        <v>313.14</v>
      </c>
    </row>
    <row r="13" spans="1:4">
      <c r="A13" s="2">
        <v>1301</v>
      </c>
      <c r="B13" s="7">
        <v>427</v>
      </c>
      <c r="C13" s="9">
        <f>SUMIF([1]!Table1[seccion],1301,[1]!Table1[CANDIDATURA_COMUN_SIGAMOS_HACIENDO_HISTORIA])</f>
        <v>170</v>
      </c>
      <c r="D13" s="11">
        <v>110.16</v>
      </c>
    </row>
    <row r="14" spans="1:4">
      <c r="A14" s="1">
        <v>1257</v>
      </c>
      <c r="B14" s="6">
        <v>1566</v>
      </c>
      <c r="C14" s="8">
        <f>SUMIF([1]!Table1[seccion],1257,[1]!Table1[CANDIDATURA_COMUN_SIGAMOS_HACIENDO_HISTORIA])</f>
        <v>622</v>
      </c>
      <c r="D14" s="11">
        <v>450.33</v>
      </c>
    </row>
    <row r="15" spans="1:4">
      <c r="A15" s="4">
        <v>1304</v>
      </c>
      <c r="B15" s="7">
        <v>895</v>
      </c>
      <c r="C15" s="9">
        <f>SUMIF([1]!Table1[seccion],1304,[1]!Table1[CANDIDATURA_COMUN_SIGAMOS_HACIENDO_HISTORIA])</f>
        <v>352</v>
      </c>
      <c r="D15" s="11">
        <v>304.47000000000003</v>
      </c>
    </row>
    <row r="16" spans="1:4">
      <c r="A16" s="3">
        <v>1281</v>
      </c>
      <c r="B16" s="6">
        <v>512</v>
      </c>
      <c r="C16" s="8">
        <f>SUMIF([1]!Table1[seccion],1281,[1]!Table1[CANDIDATURA_COMUN_SIGAMOS_HACIENDO_HISTORIA])</f>
        <v>201</v>
      </c>
      <c r="D16" s="11">
        <v>130.05000000000001</v>
      </c>
    </row>
    <row r="17" spans="1:4">
      <c r="A17" s="4">
        <v>1254</v>
      </c>
      <c r="B17" s="7">
        <v>1328</v>
      </c>
      <c r="C17" s="9">
        <f>SUMIF([1]!Table1[seccion],1254,[1]!Table1[CANDIDATURA_COMUN_SIGAMOS_HACIENDO_HISTORIA])</f>
        <v>518</v>
      </c>
      <c r="D17" s="11">
        <v>420.24</v>
      </c>
    </row>
    <row r="18" spans="1:4">
      <c r="A18" s="3">
        <v>1242</v>
      </c>
      <c r="B18" s="6">
        <v>546</v>
      </c>
      <c r="C18" s="8">
        <f>SUMIF([1]!Table1[seccion],1242,[1]!Table1[CANDIDATURA_COMUN_SIGAMOS_HACIENDO_HISTORIA])</f>
        <v>211</v>
      </c>
      <c r="D18" s="11">
        <v>156.57</v>
      </c>
    </row>
    <row r="19" spans="1:4">
      <c r="A19" s="4">
        <v>1260</v>
      </c>
      <c r="B19" s="7">
        <v>4694</v>
      </c>
      <c r="C19" s="9">
        <f>SUMIF([1]!Table1[seccion],1260,[1]!Table1[CANDIDATURA_COMUN_SIGAMOS_HACIENDO_HISTORIA])</f>
        <v>1798</v>
      </c>
      <c r="D19" s="11">
        <v>1317.84</v>
      </c>
    </row>
    <row r="20" spans="1:4">
      <c r="A20" s="5">
        <v>1253</v>
      </c>
      <c r="B20" s="6">
        <v>1553</v>
      </c>
      <c r="C20" s="8">
        <f>SUMIF([1]!Table1[seccion],1253,[1]!Table1[CANDIDATURA_COMUN_SIGAMOS_HACIENDO_HISTORIA])</f>
        <v>594</v>
      </c>
      <c r="D20" s="11">
        <v>434.01</v>
      </c>
    </row>
    <row r="21" spans="1:4">
      <c r="A21" s="2">
        <v>1241</v>
      </c>
      <c r="B21" s="7">
        <v>362</v>
      </c>
      <c r="C21" s="9">
        <f>SUMIF([1]!Table1[seccion],1241,[1]!Table1[CANDIDATURA_COMUN_SIGAMOS_HACIENDO_HISTORIA])</f>
        <v>138</v>
      </c>
      <c r="D21" s="11">
        <v>91.29</v>
      </c>
    </row>
    <row r="22" spans="1:4">
      <c r="A22" s="3">
        <v>1235</v>
      </c>
      <c r="B22" s="6">
        <v>1118</v>
      </c>
      <c r="C22" s="8">
        <f>SUMIF([1]!Table1[seccion],1235,[1]!Table1[CANDIDATURA_COMUN_SIGAMOS_HACIENDO_HISTORIA])</f>
        <v>426</v>
      </c>
      <c r="D22" s="11">
        <v>307.02</v>
      </c>
    </row>
    <row r="23" spans="1:4">
      <c r="A23" s="4">
        <v>1256</v>
      </c>
      <c r="B23" s="7">
        <v>1402</v>
      </c>
      <c r="C23" s="9">
        <f>SUMIF([1]!Table1[seccion],1256,[1]!Table1[CANDIDATURA_COMUN_SIGAMOS_HACIENDO_HISTORIA])</f>
        <v>534</v>
      </c>
      <c r="D23" s="11">
        <v>421.77</v>
      </c>
    </row>
    <row r="24" spans="1:4">
      <c r="A24" s="1">
        <v>1244</v>
      </c>
      <c r="B24" s="6">
        <v>1571</v>
      </c>
      <c r="C24" s="8">
        <f>SUMIF([1]!Table1[seccion],1244,[1]!Table1[CANDIDATURA_COMUN_SIGAMOS_HACIENDO_HISTORIA])</f>
        <v>593</v>
      </c>
      <c r="D24" s="11">
        <v>436.56</v>
      </c>
    </row>
    <row r="25" spans="1:4">
      <c r="A25" s="2">
        <v>1300</v>
      </c>
      <c r="B25" s="7">
        <v>2050</v>
      </c>
      <c r="C25" s="9">
        <f>SUMIF([1]!Table1[seccion],1300,[1]!Table1[CANDIDATURA_COMUN_SIGAMOS_HACIENDO_HISTORIA])</f>
        <v>773</v>
      </c>
      <c r="D25" s="11">
        <v>530.91</v>
      </c>
    </row>
    <row r="26" spans="1:4">
      <c r="A26" s="1">
        <v>1269</v>
      </c>
      <c r="B26" s="6">
        <v>1766</v>
      </c>
      <c r="C26" s="8">
        <f>SUMIF([1]!Table1[seccion],1269,[1]!Table1[CANDIDATURA_COMUN_SIGAMOS_HACIENDO_HISTORIA])</f>
        <v>665</v>
      </c>
      <c r="D26" s="11">
        <v>568.14</v>
      </c>
    </row>
    <row r="27" spans="1:4">
      <c r="A27" s="2">
        <v>1239</v>
      </c>
      <c r="B27" s="7">
        <v>1594</v>
      </c>
      <c r="C27" s="9">
        <f>SUMIF([1]!Table1[seccion],1239,[1]!Table1[CANDIDATURA_COMUN_SIGAMOS_HACIENDO_HISTORIA])</f>
        <v>599</v>
      </c>
      <c r="D27" s="11">
        <v>390.66</v>
      </c>
    </row>
    <row r="28" spans="1:4">
      <c r="A28" s="3">
        <v>1277</v>
      </c>
      <c r="B28" s="6">
        <v>1606</v>
      </c>
      <c r="C28" s="8">
        <f>SUMIF([1]!Table1[seccion],1277,[1]!Table1[CANDIDATURA_COMUN_SIGAMOS_HACIENDO_HISTORIA])</f>
        <v>596</v>
      </c>
      <c r="D28" s="11">
        <v>387.6</v>
      </c>
    </row>
    <row r="29" spans="1:4">
      <c r="A29" s="2">
        <v>1302</v>
      </c>
      <c r="B29" s="7">
        <v>662</v>
      </c>
      <c r="C29" s="9">
        <f>SUMIF([1]!Table1[seccion],1302,[1]!Table1[CANDIDATURA_COMUN_SIGAMOS_HACIENDO_HISTORIA])</f>
        <v>245</v>
      </c>
      <c r="D29" s="11">
        <v>165.24</v>
      </c>
    </row>
    <row r="30" spans="1:4">
      <c r="A30" s="3">
        <v>1273</v>
      </c>
      <c r="B30" s="6">
        <v>568</v>
      </c>
      <c r="C30" s="8">
        <f>SUMIF([1]!Table1[seccion],1273,[1]!Table1[CANDIDATURA_COMUN_SIGAMOS_HACIENDO_HISTORIA])</f>
        <v>209</v>
      </c>
      <c r="D30" s="11">
        <v>143.31</v>
      </c>
    </row>
    <row r="31" spans="1:4">
      <c r="A31" s="2">
        <v>1263</v>
      </c>
      <c r="B31" s="7">
        <v>2642</v>
      </c>
      <c r="C31" s="9">
        <f>SUMIF([1]!Table1[seccion],1263,[1]!Table1[CANDIDATURA_COMUN_SIGAMOS_HACIENDO_HISTORIA])</f>
        <v>968</v>
      </c>
      <c r="D31" s="11">
        <v>721.65</v>
      </c>
    </row>
    <row r="32" spans="1:4">
      <c r="A32" s="3">
        <v>1268</v>
      </c>
      <c r="B32" s="6">
        <v>1846</v>
      </c>
      <c r="C32" s="8">
        <f>SUMIF([1]!Table1[seccion],1268,[1]!Table1[CANDIDATURA_COMUN_SIGAMOS_HACIENDO_HISTORIA])</f>
        <v>675</v>
      </c>
      <c r="D32" s="11">
        <v>467.67</v>
      </c>
    </row>
    <row r="33" spans="1:4">
      <c r="A33" s="2">
        <v>1249</v>
      </c>
      <c r="B33" s="7">
        <v>1060</v>
      </c>
      <c r="C33" s="9">
        <f>SUMIF([1]!Table1[seccion],1249,[1]!Table1[CANDIDATURA_COMUN_SIGAMOS_HACIENDO_HISTORIA])</f>
        <v>382</v>
      </c>
      <c r="D33" s="11">
        <v>268.77</v>
      </c>
    </row>
    <row r="34" spans="1:4">
      <c r="A34" s="3">
        <v>1252</v>
      </c>
      <c r="B34" s="6">
        <v>2643</v>
      </c>
      <c r="C34" s="8">
        <f>SUMIF([1]!Table1[seccion],1252,[1]!Table1[CANDIDATURA_COMUN_SIGAMOS_HACIENDO_HISTORIA])</f>
        <v>952</v>
      </c>
      <c r="D34" s="11">
        <v>664.53</v>
      </c>
    </row>
    <row r="35" spans="1:4">
      <c r="A35" s="2">
        <v>1251</v>
      </c>
      <c r="B35" s="7">
        <v>4533</v>
      </c>
      <c r="C35" s="9">
        <f>SUMIF([1]!Table1[seccion],1251,[1]!Table1[CANDIDATURA_COMUN_SIGAMOS_HACIENDO_HISTORIA])</f>
        <v>1632</v>
      </c>
      <c r="D35" s="11">
        <v>1179.6300000000001</v>
      </c>
    </row>
    <row r="36" spans="1:4">
      <c r="A36" s="3">
        <v>1265</v>
      </c>
      <c r="B36" s="6">
        <v>2803</v>
      </c>
      <c r="C36" s="8">
        <f>SUMIF([1]!Table1[seccion],1265,[1]!Table1[CANDIDATURA_COMUN_SIGAMOS_HACIENDO_HISTORIA])</f>
        <v>1009</v>
      </c>
      <c r="D36" s="11">
        <v>675.24</v>
      </c>
    </row>
    <row r="37" spans="1:4">
      <c r="A37" s="2">
        <v>1285</v>
      </c>
      <c r="B37" s="7">
        <v>1006</v>
      </c>
      <c r="C37" s="9">
        <f>SUMIF([1]!Table1[seccion],1285,[1]!Table1[CANDIDATURA_COMUN_SIGAMOS_HACIENDO_HISTORIA])</f>
        <v>360</v>
      </c>
      <c r="D37" s="11">
        <v>255</v>
      </c>
    </row>
    <row r="38" spans="1:4">
      <c r="A38" s="3">
        <v>1240</v>
      </c>
      <c r="B38" s="6">
        <v>297</v>
      </c>
      <c r="C38" s="8">
        <f>SUMIF([1]!Table1[seccion],1240,[1]!Table1[CANDIDATURA_COMUN_SIGAMOS_HACIENDO_HISTORIA])</f>
        <v>106</v>
      </c>
      <c r="D38" s="11">
        <v>85.17</v>
      </c>
    </row>
    <row r="39" spans="1:4">
      <c r="A39" s="4">
        <v>1258</v>
      </c>
      <c r="B39" s="7">
        <v>1349</v>
      </c>
      <c r="C39" s="9">
        <f>SUMIF([1]!Table1[seccion],1258,[1]!Table1[CANDIDATURA_COMUN_SIGAMOS_HACIENDO_HISTORIA])</f>
        <v>479</v>
      </c>
      <c r="D39" s="11">
        <v>352.92</v>
      </c>
    </row>
    <row r="40" spans="1:4">
      <c r="A40" s="3">
        <v>1271</v>
      </c>
      <c r="B40" s="6">
        <v>1274</v>
      </c>
      <c r="C40" s="8">
        <f>SUMIF([1]!Table1[seccion],1271,[1]!Table1[CANDIDATURA_COMUN_SIGAMOS_HACIENDO_HISTORIA])</f>
        <v>451</v>
      </c>
      <c r="D40" s="11">
        <v>298.35000000000002</v>
      </c>
    </row>
    <row r="41" spans="1:4">
      <c r="A41" s="2">
        <v>1250</v>
      </c>
      <c r="B41" s="7">
        <v>899</v>
      </c>
      <c r="C41" s="9">
        <f>SUMIF([1]!Table1[seccion],1250,[1]!Table1[CANDIDATURA_COMUN_SIGAMOS_HACIENDO_HISTORIA])</f>
        <v>314</v>
      </c>
      <c r="D41" s="11">
        <v>226.44</v>
      </c>
    </row>
    <row r="42" spans="1:4">
      <c r="A42" s="3">
        <v>1236</v>
      </c>
      <c r="B42" s="6">
        <v>1534</v>
      </c>
      <c r="C42" s="8">
        <f>SUMIF([1]!Table1[seccion],1236,[1]!Table1[CANDIDATURA_COMUN_SIGAMOS_HACIENDO_HISTORIA])</f>
        <v>533</v>
      </c>
      <c r="D42" s="11">
        <v>416.67</v>
      </c>
    </row>
    <row r="43" spans="1:4">
      <c r="A43" s="2">
        <v>1283</v>
      </c>
      <c r="B43" s="7">
        <v>1158</v>
      </c>
      <c r="C43" s="9">
        <f>SUMIF([1]!Table1[seccion],1283,[1]!Table1[CANDIDATURA_COMUN_SIGAMOS_HACIENDO_HISTORIA])</f>
        <v>402</v>
      </c>
      <c r="D43" s="11">
        <v>279.48</v>
      </c>
    </row>
    <row r="44" spans="1:4">
      <c r="A44" s="3">
        <v>1238</v>
      </c>
      <c r="B44" s="6">
        <v>1085</v>
      </c>
      <c r="C44" s="8">
        <f>SUMIF([1]!Table1[seccion],1238,[1]!Table1[CANDIDATURA_COMUN_SIGAMOS_HACIENDO_HISTORIA])</f>
        <v>376</v>
      </c>
      <c r="D44" s="11">
        <v>261.12</v>
      </c>
    </row>
    <row r="45" spans="1:4">
      <c r="A45" s="2">
        <v>1287</v>
      </c>
      <c r="B45" s="7">
        <v>1320</v>
      </c>
      <c r="C45" s="9">
        <f>SUMIF([1]!Table1[seccion],1287,[1]!Table1[CANDIDATURA_COMUN_SIGAMOS_HACIENDO_HISTORIA])</f>
        <v>456</v>
      </c>
      <c r="D45" s="11">
        <v>372.81</v>
      </c>
    </row>
    <row r="46" spans="1:4">
      <c r="A46" s="3">
        <v>1284</v>
      </c>
      <c r="B46" s="6">
        <v>1941</v>
      </c>
      <c r="C46" s="8">
        <f>SUMIF([1]!Table1[seccion],1284,[1]!Table1[CANDIDATURA_COMUN_SIGAMOS_HACIENDO_HISTORIA])</f>
        <v>670</v>
      </c>
      <c r="D46" s="11">
        <v>485.52</v>
      </c>
    </row>
    <row r="47" spans="1:4">
      <c r="A47" s="2">
        <v>1264</v>
      </c>
      <c r="B47" s="7">
        <v>3696</v>
      </c>
      <c r="C47" s="9">
        <f>SUMIF([1]!Table1[seccion],1264,[1]!Table1[CANDIDATURA_COMUN_SIGAMOS_HACIENDO_HISTORIA])</f>
        <v>1267</v>
      </c>
      <c r="D47" s="11">
        <v>845.58</v>
      </c>
    </row>
    <row r="48" spans="1:4">
      <c r="A48" s="3">
        <v>1270</v>
      </c>
      <c r="B48" s="6">
        <v>1728</v>
      </c>
      <c r="C48" s="8">
        <f>SUMIF([1]!Table1[seccion],1270,[1]!Table1[CANDIDATURA_COMUN_SIGAMOS_HACIENDO_HISTORIA])</f>
        <v>591</v>
      </c>
      <c r="D48" s="11">
        <v>377.40000000000003</v>
      </c>
    </row>
    <row r="49" spans="1:4">
      <c r="A49" s="2">
        <v>1293</v>
      </c>
      <c r="B49" s="7">
        <v>1574</v>
      </c>
      <c r="C49" s="9">
        <f>SUMIF([1]!Table1[seccion],1293,[1]!Table1[CANDIDATURA_COMUN_SIGAMOS_HACIENDO_HISTORIA])</f>
        <v>538</v>
      </c>
      <c r="D49" s="11">
        <v>395.76</v>
      </c>
    </row>
    <row r="50" spans="1:4">
      <c r="A50" s="3">
        <v>1626</v>
      </c>
      <c r="B50" s="6">
        <v>2805</v>
      </c>
      <c r="C50" s="8">
        <f>SUMIF([1]!Table1[seccion],1626,[1]!Table1[CANDIDATURA_COMUN_SIGAMOS_HACIENDO_HISTORIA])</f>
        <v>957</v>
      </c>
      <c r="D50" s="11">
        <v>623.22</v>
      </c>
    </row>
    <row r="51" spans="1:4">
      <c r="A51" s="2">
        <v>1276</v>
      </c>
      <c r="B51" s="7">
        <v>937</v>
      </c>
      <c r="C51" s="9">
        <f>SUMIF([1]!Table1[seccion],1276,[1]!Table1[CANDIDATURA_COMUN_SIGAMOS_HACIENDO_HISTORIA])</f>
        <v>318</v>
      </c>
      <c r="D51" s="11">
        <v>223.38</v>
      </c>
    </row>
    <row r="52" spans="1:4">
      <c r="A52" s="1">
        <v>1245</v>
      </c>
      <c r="B52" s="6">
        <v>857</v>
      </c>
      <c r="C52" s="8">
        <f>SUMIF([1]!Table1[seccion],1245,[1]!Table1[CANDIDATURA_COMUN_SIGAMOS_HACIENDO_HISTORIA])</f>
        <v>290</v>
      </c>
      <c r="D52" s="11">
        <v>236.64000000000001</v>
      </c>
    </row>
    <row r="53" spans="1:4">
      <c r="A53" s="4">
        <v>1255</v>
      </c>
      <c r="B53" s="7">
        <v>931</v>
      </c>
      <c r="C53" s="9">
        <f>SUMIF([1]!Table1[seccion],1255,[1]!Table1[CANDIDATURA_COMUN_SIGAMOS_HACIENDO_HISTORIA])</f>
        <v>314</v>
      </c>
      <c r="D53" s="11">
        <v>300.89999999999998</v>
      </c>
    </row>
    <row r="54" spans="1:4">
      <c r="A54" s="1">
        <v>1261</v>
      </c>
      <c r="B54" s="6">
        <v>6510</v>
      </c>
      <c r="C54" s="8">
        <f>SUMIF([1]!Table1[seccion],1261,[1]!Table1[CANDIDATURA_COMUN_SIGAMOS_HACIENDO_HISTORIA])</f>
        <v>2195</v>
      </c>
      <c r="D54" s="11">
        <v>1743.69</v>
      </c>
    </row>
    <row r="55" spans="1:4">
      <c r="A55" s="4">
        <v>1259</v>
      </c>
      <c r="B55" s="7">
        <v>3034</v>
      </c>
      <c r="C55" s="9">
        <f>SUMIF([1]!Table1[seccion],1259,[1]!Table1[CANDIDATURA_COMUN_SIGAMOS_HACIENDO_HISTORIA])</f>
        <v>1015</v>
      </c>
      <c r="D55" s="11">
        <v>712.98</v>
      </c>
    </row>
    <row r="56" spans="1:4">
      <c r="A56" s="3">
        <v>1267</v>
      </c>
      <c r="B56" s="6">
        <v>5104</v>
      </c>
      <c r="C56" s="8">
        <f>SUMIF([1]!Table1[seccion],1267,[1]!Table1[CANDIDATURA_COMUN_SIGAMOS_HACIENDO_HISTORIA])</f>
        <v>1693</v>
      </c>
      <c r="D56" s="11">
        <v>1100.07</v>
      </c>
    </row>
    <row r="57" spans="1:4">
      <c r="A57" s="4">
        <v>1243</v>
      </c>
      <c r="B57" s="7">
        <v>2558</v>
      </c>
      <c r="C57" s="9">
        <f>SUMIF([1]!Table1[seccion],1243,[1]!Table1[CANDIDATURA_COMUN_SIGAMOS_HACIENDO_HISTORIA])</f>
        <v>848</v>
      </c>
      <c r="D57" s="11">
        <v>608.94000000000005</v>
      </c>
    </row>
    <row r="58" spans="1:4">
      <c r="A58" s="1">
        <v>1230</v>
      </c>
      <c r="B58" s="6">
        <v>2667</v>
      </c>
      <c r="C58" s="8">
        <f>SUMIF([1]!Table1[seccion],1230,[1]!Table1[CANDIDATURA_COMUN_SIGAMOS_HACIENDO_HISTORIA])</f>
        <v>884</v>
      </c>
      <c r="D58" s="11">
        <v>603.84</v>
      </c>
    </row>
    <row r="59" spans="1:4">
      <c r="A59" s="4">
        <v>1246</v>
      </c>
      <c r="B59" s="7">
        <v>1096</v>
      </c>
      <c r="C59" s="9">
        <f>SUMIF([1]!Table1[seccion],1246,[1]!Table1[CANDIDATURA_COMUN_SIGAMOS_HACIENDO_HISTORIA])</f>
        <v>360</v>
      </c>
      <c r="D59" s="11">
        <v>347.82</v>
      </c>
    </row>
    <row r="60" spans="1:4">
      <c r="A60" s="3">
        <v>1290</v>
      </c>
      <c r="B60" s="6">
        <v>1356</v>
      </c>
      <c r="C60" s="8">
        <f>SUMIF([1]!Table1[seccion],1290,[1]!Table1[CANDIDATURA_COMUN_SIGAMOS_HACIENDO_HISTORIA])</f>
        <v>441</v>
      </c>
      <c r="D60" s="11">
        <v>354.96</v>
      </c>
    </row>
    <row r="61" spans="1:4">
      <c r="A61" s="4">
        <v>1231</v>
      </c>
      <c r="B61" s="7">
        <v>816</v>
      </c>
      <c r="C61" s="9">
        <f>SUMIF([1]!Table1[seccion],1231,[1]!Table1[CANDIDATURA_COMUN_SIGAMOS_HACIENDO_HISTORIA])</f>
        <v>265</v>
      </c>
      <c r="D61" s="11">
        <v>242.25</v>
      </c>
    </row>
    <row r="62" spans="1:4">
      <c r="A62" s="1">
        <v>1305</v>
      </c>
      <c r="B62" s="6">
        <v>645</v>
      </c>
      <c r="C62" s="8">
        <f>SUMIF([1]!Table1[seccion],1305,[1]!Table1[CANDIDATURA_COMUN_SIGAMOS_HACIENDO_HISTORIA])</f>
        <v>209</v>
      </c>
      <c r="D62" s="11">
        <v>210.63</v>
      </c>
    </row>
    <row r="63" spans="1:4">
      <c r="A63" s="2">
        <v>1237</v>
      </c>
      <c r="B63" s="7">
        <v>1326</v>
      </c>
      <c r="C63" s="9">
        <f>SUMIF([1]!Table1[seccion],1237,[1]!Table1[CANDIDATURA_COMUN_SIGAMOS_HACIENDO_HISTORIA])</f>
        <v>427</v>
      </c>
      <c r="D63" s="11">
        <v>288.14999999999998</v>
      </c>
    </row>
    <row r="64" spans="1:4">
      <c r="A64" s="3">
        <v>1279</v>
      </c>
      <c r="B64" s="6">
        <v>1537</v>
      </c>
      <c r="C64" s="8">
        <f>SUMIF([1]!Table1[seccion],1279,[1]!Table1[CANDIDATURA_COMUN_SIGAMOS_HACIENDO_HISTORIA])</f>
        <v>487</v>
      </c>
      <c r="D64" s="11">
        <v>355.98</v>
      </c>
    </row>
    <row r="65" spans="1:4">
      <c r="A65" s="2">
        <v>1291</v>
      </c>
      <c r="B65" s="7">
        <v>2890</v>
      </c>
      <c r="C65" s="9">
        <f>SUMIF([1]!Table1[seccion],1291,[1]!Table1[CANDIDATURA_COMUN_SIGAMOS_HACIENDO_HISTORIA])</f>
        <v>912</v>
      </c>
      <c r="D65" s="11">
        <v>706.35</v>
      </c>
    </row>
    <row r="66" spans="1:4">
      <c r="A66" s="1">
        <v>1262</v>
      </c>
      <c r="B66" s="6">
        <v>1203</v>
      </c>
      <c r="C66" s="8">
        <f>SUMIF([1]!Table1[seccion],1262,[1]!Table1[CANDIDATURA_COMUN_SIGAMOS_HACIENDO_HISTORIA])</f>
        <v>378</v>
      </c>
      <c r="D66" s="11">
        <v>351.39</v>
      </c>
    </row>
    <row r="67" spans="1:4">
      <c r="A67" s="2">
        <v>1286</v>
      </c>
      <c r="B67" s="7">
        <v>2009</v>
      </c>
      <c r="C67" s="9">
        <f>SUMIF([1]!Table1[seccion],1286,[1]!Table1[CANDIDATURA_COMUN_SIGAMOS_HACIENDO_HISTORIA])</f>
        <v>628</v>
      </c>
      <c r="D67" s="11">
        <v>407.49</v>
      </c>
    </row>
    <row r="68" spans="1:4">
      <c r="A68" s="3">
        <v>1272</v>
      </c>
      <c r="B68" s="6">
        <v>475</v>
      </c>
      <c r="C68" s="8">
        <f>SUMIF([1]!Table1[seccion],1272,[1]!Table1[CANDIDATURA_COMUN_SIGAMOS_HACIENDO_HISTORIA])</f>
        <v>147</v>
      </c>
      <c r="D68" s="11">
        <v>110.16</v>
      </c>
    </row>
    <row r="69" spans="1:4">
      <c r="A69" s="2">
        <v>1627</v>
      </c>
      <c r="B69" s="7">
        <v>2946</v>
      </c>
      <c r="C69" s="9">
        <f>SUMIF([1]!Table1[seccion],1627,[1]!Table1[CANDIDATURA_COMUN_SIGAMOS_HACIENDO_HISTORIA])</f>
        <v>911</v>
      </c>
      <c r="D69" s="11">
        <v>592.11</v>
      </c>
    </row>
    <row r="70" spans="1:4">
      <c r="A70" s="1">
        <v>1232</v>
      </c>
      <c r="B70" s="6">
        <v>1201</v>
      </c>
      <c r="C70" s="8">
        <f>SUMIF([1]!Table1[seccion],1232,[1]!Table1[CANDIDATURA_COMUN_SIGAMOS_HACIENDO_HISTORIA])</f>
        <v>370</v>
      </c>
      <c r="D70" s="11">
        <v>411.06</v>
      </c>
    </row>
    <row r="71" spans="1:4">
      <c r="A71" s="2">
        <v>1289</v>
      </c>
      <c r="B71" s="7">
        <v>4850</v>
      </c>
      <c r="C71" s="9">
        <f>SUMIF([1]!Table1[seccion],1289,[1]!Table1[CANDIDATURA_COMUN_SIGAMOS_HACIENDO_HISTORIA])</f>
        <v>1477</v>
      </c>
      <c r="D71" s="11">
        <v>1173.51</v>
      </c>
    </row>
    <row r="72" spans="1:4">
      <c r="A72" s="1">
        <v>1247</v>
      </c>
      <c r="B72" s="6">
        <v>1146</v>
      </c>
      <c r="C72" s="8">
        <f>SUMIF([1]!Table1[seccion],1247,[1]!Table1[CANDIDATURA_COMUN_SIGAMOS_HACIENDO_HISTORIA])</f>
        <v>344</v>
      </c>
      <c r="D72" s="11">
        <v>377.40000000000003</v>
      </c>
    </row>
    <row r="73" spans="1:4">
      <c r="A73" s="2">
        <v>1278</v>
      </c>
      <c r="B73" s="7">
        <v>1929</v>
      </c>
      <c r="C73" s="9">
        <f>SUMIF([1]!Table1[seccion],1278,[1]!Table1[CANDIDATURA_COMUN_SIGAMOS_HACIENDO_HISTORIA])</f>
        <v>576</v>
      </c>
      <c r="D73" s="11">
        <v>422.28000000000003</v>
      </c>
    </row>
    <row r="74" spans="1:4">
      <c r="A74" s="3">
        <v>1625</v>
      </c>
      <c r="B74" s="6">
        <v>1278</v>
      </c>
      <c r="C74" s="8">
        <f>SUMIF([1]!Table1[seccion],1625,[1]!Table1[CANDIDATURA_COMUN_SIGAMOS_HACIENDO_HISTORIA])</f>
        <v>375</v>
      </c>
      <c r="D74" s="11">
        <v>239.19</v>
      </c>
    </row>
    <row r="75" spans="1:4">
      <c r="A75" s="2">
        <v>1288</v>
      </c>
      <c r="B75" s="7">
        <v>1596</v>
      </c>
      <c r="C75" s="9">
        <f>SUMIF([1]!Table1[seccion],1288,[1]!Table1[CANDIDATURA_COMUN_SIGAMOS_HACIENDO_HISTORIA])</f>
        <v>465</v>
      </c>
      <c r="D75" s="11">
        <v>351.39</v>
      </c>
    </row>
    <row r="76" spans="1:4">
      <c r="A76" s="1">
        <v>1234</v>
      </c>
      <c r="B76" s="6">
        <v>1209</v>
      </c>
      <c r="C76" s="8">
        <f>SUMIF([1]!Table1[seccion],1234,[1]!Table1[CANDIDATURA_COMUN_SIGAMOS_HACIENDO_HISTORIA])</f>
        <v>317</v>
      </c>
      <c r="D76" s="11">
        <v>373.32</v>
      </c>
    </row>
    <row r="77" spans="1:4">
      <c r="A77" s="2">
        <v>1275</v>
      </c>
      <c r="B77" s="7">
        <v>828</v>
      </c>
      <c r="C77" s="9">
        <f>SUMIF([1]!Table1[seccion],1275,[1]!Table1[CANDIDATURA_COMUN_SIGAMOS_HACIENDO_HISTORIA])</f>
        <v>200</v>
      </c>
      <c r="D77" s="11">
        <v>113.73</v>
      </c>
    </row>
    <row r="78" spans="1:4">
      <c r="A78" s="1">
        <v>1248</v>
      </c>
      <c r="B78" s="6">
        <v>517</v>
      </c>
      <c r="C78" s="8">
        <f>SUMIF([1]!Table1[seccion],1248,[1]!Table1[CANDIDATURA_COMUN_SIGAMOS_HACIENDO_HISTORIA])</f>
        <v>111</v>
      </c>
      <c r="D78" s="11">
        <v>160.65</v>
      </c>
    </row>
    <row r="79" spans="1:4">
      <c r="A79" s="2">
        <v>1298</v>
      </c>
      <c r="B79" s="7">
        <v>1152</v>
      </c>
      <c r="C79" s="9">
        <f>SUMIF([1]!Table1[seccion],1298,[1]!Table1[CANDIDATURA_COMUN_SIGAMOS_HACIENDO_HISTORIA])</f>
        <v>245</v>
      </c>
      <c r="D79" s="11">
        <v>179.01</v>
      </c>
    </row>
    <row r="80" spans="1:4">
      <c r="B80" s="10">
        <f>SUM(B2:B79)</f>
        <v>128305</v>
      </c>
      <c r="C80" s="10">
        <f t="shared" ref="C80:D80" si="0">SUM(C2:C79)</f>
        <v>44988</v>
      </c>
      <c r="D80" s="10">
        <f t="shared" si="0"/>
        <v>32951.61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Valenzuela</dc:creator>
  <cp:lastModifiedBy>Enrique Valenzuela</cp:lastModifiedBy>
  <dcterms:created xsi:type="dcterms:W3CDTF">2026-02-20T18:27:05Z</dcterms:created>
  <dcterms:modified xsi:type="dcterms:W3CDTF">2026-02-20T18:42:52Z</dcterms:modified>
</cp:coreProperties>
</file>